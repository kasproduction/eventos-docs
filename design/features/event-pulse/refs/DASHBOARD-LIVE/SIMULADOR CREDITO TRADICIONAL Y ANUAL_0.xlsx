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daroca4\Downloads\"/>
    </mc:Choice>
  </mc:AlternateContent>
  <xr:revisionPtr revIDLastSave="0" documentId="13_ncr:1_{640ABF38-1F1D-49B9-81AC-1E851D3DAA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mulado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1" roundtripDataSignature="AMtx7migZFQLB4aiEbd5i7mQd8qJnf5CwA=="/>
    </ext>
  </extLst>
</workbook>
</file>

<file path=xl/calcChain.xml><?xml version="1.0" encoding="utf-8"?>
<calcChain xmlns="http://schemas.openxmlformats.org/spreadsheetml/2006/main">
  <c r="E14" i="2" l="1"/>
  <c r="E16" i="2"/>
  <c r="E15" i="2"/>
  <c r="E13" i="2"/>
  <c r="B13" i="2"/>
  <c r="F11" i="2" s="1"/>
  <c r="G11" i="2" s="1"/>
  <c r="B15" i="2" l="1"/>
  <c r="G16" i="2" s="1"/>
  <c r="F16" i="2" l="1"/>
  <c r="H13" i="2"/>
  <c r="I11" i="2"/>
  <c r="G15" i="2"/>
  <c r="F14" i="2"/>
  <c r="H16" i="2"/>
  <c r="B16" i="2"/>
  <c r="F12" i="2"/>
  <c r="H15" i="2"/>
  <c r="G14" i="2"/>
  <c r="F13" i="2"/>
  <c r="H14" i="2"/>
  <c r="F15" i="2"/>
  <c r="G13" i="2"/>
  <c r="H12" i="2"/>
  <c r="G12" i="2"/>
  <c r="G17" i="2" l="1"/>
  <c r="I12" i="2"/>
  <c r="I13" i="2" s="1"/>
  <c r="I14" i="2" s="1"/>
  <c r="I15" i="2" s="1"/>
  <c r="I16" i="2" s="1"/>
  <c r="H17" i="2" l="1"/>
  <c r="F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</author>
  </authors>
  <commentList>
    <comment ref="B10" authorId="0" shapeId="0" xr:uid="{1AE816CF-511C-4295-B61B-17BD0E5CC0F8}">
      <text>
        <r>
          <rPr>
            <sz val="8"/>
            <color indexed="81"/>
            <rFont val="72"/>
            <family val="2"/>
          </rPr>
          <t>Valor neto por semestre.</t>
        </r>
      </text>
    </comment>
    <comment ref="B11" authorId="0" shapeId="0" xr:uid="{16B97577-6F5B-4BFA-80D0-1575B47F66D7}">
      <text>
        <r>
          <rPr>
            <sz val="8"/>
            <color indexed="81"/>
            <rFont val="72"/>
            <family val="2"/>
          </rPr>
          <t>El 10% aplica unicamente para matriculas de pregrado que son egresados del SENA.</t>
        </r>
      </text>
    </comment>
    <comment ref="B12" authorId="0" shapeId="0" xr:uid="{E4FC51B9-6A20-4E24-A3E2-2009CE62E228}">
      <text>
        <r>
          <rPr>
            <sz val="8"/>
            <color indexed="81"/>
            <rFont val="72"/>
            <family val="2"/>
          </rPr>
          <t>El número de cuotas está sujeto a la duración del periodo de clases.</t>
        </r>
      </text>
    </comment>
  </commentList>
</comments>
</file>

<file path=xl/sharedStrings.xml><?xml version="1.0" encoding="utf-8"?>
<sst xmlns="http://schemas.openxmlformats.org/spreadsheetml/2006/main" count="22" uniqueCount="22">
  <si>
    <t>CONCEPTOS</t>
  </si>
  <si>
    <t>VALOR</t>
  </si>
  <si>
    <t>ABONO A CAPITAL</t>
  </si>
  <si>
    <t>SALDO CAPITAL</t>
  </si>
  <si>
    <t>VALOR CUOTA INICIAL</t>
  </si>
  <si>
    <t>VALOR A FINANCIAR</t>
  </si>
  <si>
    <t>AMORTIZACIÓN</t>
  </si>
  <si>
    <t># CUOTAS</t>
  </si>
  <si>
    <t>CUOTA INICIAL</t>
  </si>
  <si>
    <t>VALOR DE LA CUOTA CON INTERÉS:</t>
  </si>
  <si>
    <t>VALOR TOTAL MATRÍCULA:</t>
  </si>
  <si>
    <t>NÚMERO DE CUOTAS:</t>
  </si>
  <si>
    <t>% CUOTA INICIAL:</t>
  </si>
  <si>
    <t>Por favor diligenciar los campos en amarillo:</t>
  </si>
  <si>
    <t>CUOTAS FIJA MENSUAL</t>
  </si>
  <si>
    <t>INTERÉS CORRIENTE N.M.V</t>
  </si>
  <si>
    <t>INTERÉS CORRIENTE</t>
  </si>
  <si>
    <t>VALOR CUOTA FIJA MENSUAL</t>
  </si>
  <si>
    <t>SIMULADOR CRÉDITO EDUCATIVO</t>
  </si>
  <si>
    <t>Tener en cuenta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</si>
  <si>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8"/>
        <color rgb="FF000000"/>
        <rFont val="Montserrat"/>
      </rPr>
      <t xml:space="preserve">Los resultados que arroja este simulador son una proyección aproximada que no comprometen a la universidad a mantener las condiciones de plazo, tasa o monto de la deuda, entre otras. Tampoco implica la obligación para la universidad de otorgar efectivamente la operación simulada.  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</si>
  <si>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8"/>
        <color rgb="FF000000"/>
        <rFont val="Montserrat"/>
      </rPr>
      <t>Los valores reales al momento de otorgar el crédito, podrán ser modificados de conformidad con la variación de las tasas de interés o conforme a las políticas institucionales.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</si>
</sst>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(&quot;$&quot;\ * #,##0.00_);_(&quot;$&quot;\ * \(#,##0.00\);_(&quot;$&quot;\ * &quot;-&quot;??_);_(@_)"/>
    <numFmt numFmtId="165" formatCode="_-&quot;$&quot;\ * #,##0_-;\-&quot;$&quot;\ * #,##0_-;_-&quot;$&quot;\ * &quot;-&quot;??_-;_-@_-"/>
    <numFmt numFmtId="166" formatCode="&quot;$&quot;\ #,##0"/>
  </numFmts>
  <fonts count="14" x14ac:knownFonts="1">
    <font>
      <sz val="10"/>
      <color rgb="FF000000"/>
      <name val="Arial"/>
      <scheme val="minor"/>
    </font>
    <font>
      <sz val="10"/>
      <color theme="1"/>
      <name val="Montserrat"/>
    </font>
    <font>
      <b/>
      <sz val="10"/>
      <color theme="1"/>
      <name val="Montserrat"/>
    </font>
    <font>
      <sz val="9"/>
      <color theme="1"/>
      <name val="Montserrat"/>
    </font>
    <font>
      <b/>
      <sz val="9"/>
      <color theme="1"/>
      <name val="Montserrat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8"/>
      <color indexed="81"/>
      <name val="72"/>
      <family val="2"/>
    </font>
    <font>
      <b/>
      <sz val="10"/>
      <color theme="1"/>
      <name val="Arial"/>
      <family val="2"/>
    </font>
    <font>
      <b/>
      <sz val="8"/>
      <color theme="1"/>
      <name val="Montserrat"/>
    </font>
    <font>
      <sz val="8"/>
      <color rgb="FF000000"/>
      <name val="Montserrat"/>
    </font>
    <font>
      <sz val="7"/>
      <color rgb="FF000000"/>
      <name val="Times New Roman"/>
      <family val="1"/>
    </font>
    <font>
      <b/>
      <sz val="14"/>
      <color theme="1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 applyProtection="1">
      <protection hidden="1"/>
    </xf>
    <xf numFmtId="0" fontId="1" fillId="4" borderId="2" xfId="0" applyFont="1" applyFill="1" applyBorder="1" applyAlignment="1" applyProtection="1">
      <alignment horizontal="center"/>
      <protection hidden="1"/>
    </xf>
    <xf numFmtId="0" fontId="4" fillId="4" borderId="7" xfId="0" applyFont="1" applyFill="1" applyBorder="1" applyAlignment="1" applyProtection="1">
      <alignment horizontal="center" vertical="center"/>
      <protection hidden="1"/>
    </xf>
    <xf numFmtId="0" fontId="1" fillId="4" borderId="6" xfId="0" applyFont="1" applyFill="1" applyBorder="1" applyProtection="1"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164" fontId="4" fillId="2" borderId="1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7" fillId="0" borderId="0" xfId="0" applyFont="1" applyProtection="1">
      <protection hidden="1"/>
    </xf>
    <xf numFmtId="165" fontId="1" fillId="4" borderId="2" xfId="1" applyNumberFormat="1" applyFont="1" applyFill="1" applyBorder="1" applyAlignment="1" applyProtection="1">
      <protection hidden="1"/>
    </xf>
    <xf numFmtId="165" fontId="1" fillId="0" borderId="2" xfId="1" applyNumberFormat="1" applyFont="1" applyBorder="1" applyAlignment="1" applyProtection="1">
      <protection hidden="1"/>
    </xf>
    <xf numFmtId="165" fontId="2" fillId="4" borderId="3" xfId="1" applyNumberFormat="1" applyFont="1" applyFill="1" applyBorder="1" applyAlignment="1" applyProtection="1">
      <alignment horizontal="center" vertical="center"/>
      <protection hidden="1"/>
    </xf>
    <xf numFmtId="165" fontId="2" fillId="4" borderId="8" xfId="1" applyNumberFormat="1" applyFont="1" applyFill="1" applyBorder="1" applyAlignment="1" applyProtection="1">
      <alignment vertical="center"/>
      <protection hidden="1"/>
    </xf>
    <xf numFmtId="165" fontId="2" fillId="4" borderId="7" xfId="1" applyNumberFormat="1" applyFont="1" applyFill="1" applyBorder="1" applyAlignment="1" applyProtection="1">
      <alignment vertical="center"/>
      <protection hidden="1"/>
    </xf>
    <xf numFmtId="165" fontId="1" fillId="4" borderId="3" xfId="1" applyNumberFormat="1" applyFont="1" applyFill="1" applyBorder="1" applyAlignment="1" applyProtection="1">
      <alignment horizontal="center"/>
      <protection hidden="1"/>
    </xf>
    <xf numFmtId="165" fontId="1" fillId="0" borderId="4" xfId="1" applyNumberFormat="1" applyFont="1" applyBorder="1" applyAlignment="1" applyProtection="1">
      <protection hidden="1"/>
    </xf>
    <xf numFmtId="0" fontId="4" fillId="0" borderId="9" xfId="0" applyFont="1" applyBorder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0" fontId="3" fillId="0" borderId="2" xfId="0" applyFont="1" applyBorder="1" applyAlignment="1" applyProtection="1">
      <alignment horizontal="right"/>
      <protection hidden="1"/>
    </xf>
    <xf numFmtId="0" fontId="4" fillId="0" borderId="13" xfId="0" applyFont="1" applyBorder="1" applyAlignment="1" applyProtection="1">
      <alignment horizontal="right"/>
      <protection hidden="1"/>
    </xf>
    <xf numFmtId="0" fontId="3" fillId="0" borderId="13" xfId="0" applyFont="1" applyBorder="1" applyAlignment="1" applyProtection="1">
      <alignment horizontal="right"/>
      <protection hidden="1"/>
    </xf>
    <xf numFmtId="0" fontId="10" fillId="0" borderId="3" xfId="0" applyFont="1" applyBorder="1" applyAlignment="1" applyProtection="1">
      <alignment horizontal="center"/>
      <protection hidden="1"/>
    </xf>
    <xf numFmtId="166" fontId="2" fillId="4" borderId="2" xfId="1" applyNumberFormat="1" applyFont="1" applyFill="1" applyBorder="1" applyAlignment="1" applyProtection="1">
      <protection hidden="1"/>
    </xf>
    <xf numFmtId="0" fontId="11" fillId="0" borderId="0" xfId="0" applyFont="1" applyAlignment="1">
      <alignment horizontal="left" vertical="center" wrapText="1"/>
    </xf>
    <xf numFmtId="0" fontId="2" fillId="2" borderId="3" xfId="0" applyFont="1" applyFill="1" applyBorder="1" applyAlignment="1" applyProtection="1">
      <alignment horizontal="center" vertical="top"/>
      <protection hidden="1"/>
    </xf>
    <xf numFmtId="0" fontId="6" fillId="0" borderId="5" xfId="0" applyFont="1" applyBorder="1" applyAlignment="1" applyProtection="1">
      <alignment horizontal="center" vertical="top"/>
      <protection hidden="1"/>
    </xf>
    <xf numFmtId="0" fontId="1" fillId="0" borderId="0" xfId="0" applyFont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13" fillId="0" borderId="0" xfId="0" applyFont="1" applyAlignment="1" applyProtection="1">
      <alignment horizontal="center" vertical="center"/>
      <protection hidden="1"/>
    </xf>
    <xf numFmtId="165" fontId="4" fillId="0" borderId="13" xfId="1" applyNumberFormat="1" applyFont="1" applyBorder="1" applyAlignment="1" applyProtection="1">
      <alignment horizontal="right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vertical="center"/>
      <protection hidden="1"/>
    </xf>
    <xf numFmtId="165" fontId="4" fillId="5" borderId="13" xfId="1" applyNumberFormat="1" applyFont="1" applyFill="1" applyBorder="1" applyAlignment="1" applyProtection="1">
      <alignment horizontal="right"/>
      <protection locked="0"/>
    </xf>
    <xf numFmtId="165" fontId="6" fillId="0" borderId="13" xfId="1" applyNumberFormat="1" applyFont="1" applyBorder="1" applyAlignment="1" applyProtection="1">
      <alignment horizontal="right"/>
      <protection locked="0"/>
    </xf>
    <xf numFmtId="9" fontId="3" fillId="3" borderId="13" xfId="0" applyNumberFormat="1" applyFont="1" applyFill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165" fontId="9" fillId="0" borderId="13" xfId="1" applyNumberFormat="1" applyFont="1" applyBorder="1" applyAlignment="1" applyProtection="1">
      <alignment horizontal="right" vertical="center"/>
      <protection hidden="1"/>
    </xf>
    <xf numFmtId="165" fontId="3" fillId="0" borderId="13" xfId="1" applyNumberFormat="1" applyFont="1" applyBorder="1" applyAlignment="1" applyProtection="1">
      <alignment horizontal="right" vertical="center"/>
      <protection hidden="1"/>
    </xf>
    <xf numFmtId="10" fontId="3" fillId="4" borderId="13" xfId="0" applyNumberFormat="1" applyFont="1" applyFill="1" applyBorder="1" applyAlignment="1" applyProtection="1">
      <alignment horizontal="right" vertical="center"/>
      <protection hidden="1"/>
    </xf>
    <xf numFmtId="0" fontId="3" fillId="5" borderId="14" xfId="0" applyFont="1" applyFill="1" applyBorder="1" applyAlignment="1" applyProtection="1">
      <alignment horizontal="right"/>
      <protection locked="0"/>
    </xf>
    <xf numFmtId="0" fontId="3" fillId="5" borderId="15" xfId="0" applyFont="1" applyFill="1" applyBorder="1" applyAlignment="1" applyProtection="1">
      <alignment horizontal="right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3175000" cy="928688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3175000" cy="928688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X984"/>
  <sheetViews>
    <sheetView showGridLines="0" tabSelected="1" topLeftCell="A4" zoomScale="120" zoomScaleNormal="120" workbookViewId="0">
      <selection activeCell="B13" sqref="B13:C13"/>
    </sheetView>
  </sheetViews>
  <sheetFormatPr baseColWidth="10" defaultColWidth="12.5703125" defaultRowHeight="15" customHeight="1" x14ac:dyDescent="0.2"/>
  <cols>
    <col min="1" max="1" width="30" style="10" customWidth="1"/>
    <col min="2" max="2" width="6.5703125" style="10" customWidth="1"/>
    <col min="3" max="3" width="14.85546875" style="10" customWidth="1"/>
    <col min="4" max="4" width="12.7109375" style="10" customWidth="1"/>
    <col min="5" max="5" width="31.28515625" style="10" bestFit="1" customWidth="1"/>
    <col min="6" max="6" width="28.5703125" style="10" bestFit="1" customWidth="1"/>
    <col min="7" max="7" width="18.140625" style="10" customWidth="1"/>
    <col min="8" max="8" width="21.140625" style="10" customWidth="1"/>
    <col min="9" max="9" width="16.7109375" style="10" customWidth="1"/>
    <col min="10" max="10" width="15.42578125" style="10" customWidth="1"/>
    <col min="11" max="11" width="18" style="10" customWidth="1"/>
    <col min="12" max="12" width="13.28515625" style="10" customWidth="1"/>
    <col min="13" max="22" width="10.7109375" style="10" customWidth="1"/>
    <col min="23" max="24" width="14.42578125" style="10" customWidth="1"/>
    <col min="25" max="16384" width="12.5703125" style="10"/>
  </cols>
  <sheetData>
    <row r="1" spans="1:24" ht="12.75" customHeight="1" x14ac:dyDescent="0.2">
      <c r="A1" s="28"/>
      <c r="B1" s="29"/>
      <c r="C1" s="29"/>
      <c r="D1" s="30" t="s">
        <v>18</v>
      </c>
      <c r="E1" s="29"/>
      <c r="F1" s="2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ht="12.75" customHeight="1" x14ac:dyDescent="0.2">
      <c r="A2" s="29"/>
      <c r="B2" s="29"/>
      <c r="C2" s="29"/>
      <c r="D2" s="29"/>
      <c r="E2" s="29"/>
      <c r="F2" s="2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4" ht="12.75" customHeight="1" x14ac:dyDescent="0.2">
      <c r="A3" s="29"/>
      <c r="B3" s="29"/>
      <c r="C3" s="29"/>
      <c r="D3" s="29"/>
      <c r="E3" s="29"/>
      <c r="F3" s="2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4" ht="12.75" customHeight="1" x14ac:dyDescent="0.2">
      <c r="A4" s="29"/>
      <c r="B4" s="29"/>
      <c r="C4" s="29"/>
      <c r="D4" s="29"/>
      <c r="E4" s="29"/>
      <c r="F4" s="2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ht="12.75" customHeight="1" x14ac:dyDescent="0.2">
      <c r="A5" s="29"/>
      <c r="B5" s="29"/>
      <c r="C5" s="29"/>
      <c r="D5" s="29"/>
      <c r="E5" s="29"/>
      <c r="F5" s="2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ht="12.75" customHeight="1" x14ac:dyDescent="0.2">
      <c r="A6" s="29"/>
      <c r="B6" s="29"/>
      <c r="C6" s="29"/>
      <c r="D6" s="29"/>
      <c r="E6" s="29"/>
      <c r="F6" s="2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4" ht="12.75" customHeight="1" x14ac:dyDescent="0.2">
      <c r="A7" s="8" t="s">
        <v>13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9" t="s">
        <v>0</v>
      </c>
      <c r="B9" s="32" t="s">
        <v>1</v>
      </c>
      <c r="C9" s="33"/>
      <c r="D9" s="1"/>
      <c r="E9" s="26" t="s">
        <v>6</v>
      </c>
      <c r="F9" s="27"/>
      <c r="G9" s="27"/>
      <c r="H9" s="27"/>
      <c r="I9" s="2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8" t="s">
        <v>10</v>
      </c>
      <c r="B10" s="34">
        <v>2070000</v>
      </c>
      <c r="C10" s="35"/>
      <c r="D10" s="1"/>
      <c r="E10" s="5" t="s">
        <v>7</v>
      </c>
      <c r="F10" s="6" t="s">
        <v>17</v>
      </c>
      <c r="G10" s="6" t="s">
        <v>2</v>
      </c>
      <c r="H10" s="6" t="s">
        <v>16</v>
      </c>
      <c r="I10" s="7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9" t="s">
        <v>12</v>
      </c>
      <c r="B11" s="36">
        <v>0.05</v>
      </c>
      <c r="C11" s="37"/>
      <c r="D11" s="1"/>
      <c r="E11" s="3" t="s">
        <v>8</v>
      </c>
      <c r="F11" s="13">
        <f>+B13</f>
        <v>103500</v>
      </c>
      <c r="G11" s="14">
        <f>+F11</f>
        <v>103500</v>
      </c>
      <c r="H11" s="24">
        <v>0</v>
      </c>
      <c r="I11" s="15">
        <f>+B15</f>
        <v>1966500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"/>
      <c r="V11" s="1"/>
      <c r="W11" s="1"/>
      <c r="X11" s="1"/>
    </row>
    <row r="12" spans="1:24" x14ac:dyDescent="0.3">
      <c r="A12" s="20" t="s">
        <v>11</v>
      </c>
      <c r="B12" s="41">
        <v>5</v>
      </c>
      <c r="C12" s="42"/>
      <c r="D12" s="1"/>
      <c r="E12" s="2">
        <v>1</v>
      </c>
      <c r="F12" s="16">
        <f>PMT($B$14,$B$12,-$B$15)</f>
        <v>408770.7691889765</v>
      </c>
      <c r="G12" s="16">
        <f>PPMT($B$14,E12,$B$12,-$B$15)</f>
        <v>383206.2691889765</v>
      </c>
      <c r="H12" s="11">
        <f>IPMT($B$14,E12,$B$12,-$B$15)</f>
        <v>25564.5</v>
      </c>
      <c r="I12" s="11">
        <f>B15-G12</f>
        <v>1583293.7308110236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21" t="s">
        <v>4</v>
      </c>
      <c r="B13" s="31">
        <f>+B10*B11</f>
        <v>103500</v>
      </c>
      <c r="C13" s="38"/>
      <c r="D13" s="1"/>
      <c r="E13" s="2">
        <f>+IF(B12&gt;=2,2,"")</f>
        <v>2</v>
      </c>
      <c r="F13" s="16">
        <f>+IF(E13="","",PMT($B$14,$B$12,-$B$15))</f>
        <v>408770.7691889765</v>
      </c>
      <c r="G13" s="16">
        <f>IF(E13="","",PPMT($B$14,E13,$B$12,-$B$15))</f>
        <v>388187.95068843313</v>
      </c>
      <c r="H13" s="11">
        <f>IF(E13="","",IPMT($B$14,E13,$B$12,-$B$15))</f>
        <v>20582.818500543308</v>
      </c>
      <c r="I13" s="11">
        <f>IF(E13="","",I12-G13)</f>
        <v>1195105.7801225905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22" t="s">
        <v>15</v>
      </c>
      <c r="B14" s="40">
        <v>1.2999999999999999E-2</v>
      </c>
      <c r="C14" s="40"/>
      <c r="D14" s="1"/>
      <c r="E14" s="2">
        <f>+IF(B12&gt;=3,3,"")</f>
        <v>3</v>
      </c>
      <c r="F14" s="16">
        <f t="shared" ref="F14:F16" si="0">+IF(E14="","",PMT($B$14,$B$12,-$B$15))</f>
        <v>408770.7691889765</v>
      </c>
      <c r="G14" s="16">
        <f t="shared" ref="G14:G16" si="1">IF(E14="","",PPMT($B$14,E14,$B$12,-$B$15))</f>
        <v>393234.39404738281</v>
      </c>
      <c r="H14" s="11">
        <f t="shared" ref="H14:H16" si="2">IF(E14="","",IPMT($B$14,E14,$B$12,-$B$15))</f>
        <v>15536.375141593675</v>
      </c>
      <c r="I14" s="11">
        <f t="shared" ref="I14:I16" si="3">IF(E14="","",I13-G14)</f>
        <v>801871.38607520773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22" t="s">
        <v>5</v>
      </c>
      <c r="B15" s="39">
        <f>B10-B13</f>
        <v>1966500</v>
      </c>
      <c r="C15" s="39"/>
      <c r="D15" s="1"/>
      <c r="E15" s="2">
        <f>+IF(B12&gt;=4,4,"")</f>
        <v>4</v>
      </c>
      <c r="F15" s="16">
        <f t="shared" si="0"/>
        <v>408770.7691889765</v>
      </c>
      <c r="G15" s="16">
        <f t="shared" si="1"/>
        <v>398346.44116999872</v>
      </c>
      <c r="H15" s="11">
        <f t="shared" si="2"/>
        <v>10424.328018977698</v>
      </c>
      <c r="I15" s="11">
        <f t="shared" si="3"/>
        <v>403524.94490520901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21" t="s">
        <v>14</v>
      </c>
      <c r="B16" s="31">
        <f>+PMT(B14,B12,-B15)</f>
        <v>408770.7691889765</v>
      </c>
      <c r="C16" s="31"/>
      <c r="D16" s="1"/>
      <c r="E16" s="2">
        <f>+IF(B12&gt;=5,5,"")</f>
        <v>5</v>
      </c>
      <c r="F16" s="16">
        <f t="shared" si="0"/>
        <v>408770.7691889765</v>
      </c>
      <c r="G16" s="16">
        <f t="shared" si="1"/>
        <v>403524.94490520877</v>
      </c>
      <c r="H16" s="11">
        <f t="shared" si="2"/>
        <v>5245.8242837677135</v>
      </c>
      <c r="I16" s="11">
        <f t="shared" si="3"/>
        <v>2.3283064365386963E-10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/>
      <c r="B17" s="1"/>
      <c r="C17" s="1"/>
      <c r="D17" s="1"/>
      <c r="E17" s="23" t="s">
        <v>9</v>
      </c>
      <c r="F17" s="16">
        <f>SUM(F11:F16)</f>
        <v>2147353.8459448824</v>
      </c>
      <c r="G17" s="16">
        <f>SUM(G1:G16)</f>
        <v>2070000</v>
      </c>
      <c r="H17" s="12">
        <f t="shared" ref="H17" si="4">SUM(H12:H16)</f>
        <v>77353.845944882385</v>
      </c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 x14ac:dyDescent="0.2">
      <c r="A19" s="8" t="s">
        <v>19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2.5" customHeight="1" x14ac:dyDescent="0.2">
      <c r="A20" s="25" t="s">
        <v>20</v>
      </c>
      <c r="B20" s="25"/>
      <c r="C20" s="25"/>
      <c r="D20" s="25"/>
      <c r="E20" s="25"/>
      <c r="F20" s="25"/>
      <c r="G20" s="2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 x14ac:dyDescent="0.2">
      <c r="A21" s="25" t="s">
        <v>21</v>
      </c>
      <c r="B21" s="25"/>
      <c r="C21" s="25"/>
      <c r="D21" s="25"/>
      <c r="E21" s="25"/>
      <c r="F21" s="25"/>
      <c r="G21" s="2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 x14ac:dyDescent="0.2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 x14ac:dyDescent="0.2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 x14ac:dyDescent="0.2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</sheetData>
  <sheetProtection algorithmName="SHA-512" hashValue="Mny6sOY/8ZvdzaXPRj9RxUezbfoR0Sk53F/l05QShCbHBUxlQh8baI1fl2mFi5qq+d7WlmcF1rNyP9lUPAXUjw==" saltValue="C07BcEh49LgAvde3jdpy5g==" spinCount="100000" sheet="1" objects="1" scenarios="1"/>
  <mergeCells count="13">
    <mergeCell ref="A20:G20"/>
    <mergeCell ref="A21:G21"/>
    <mergeCell ref="E9:I9"/>
    <mergeCell ref="A1:C6"/>
    <mergeCell ref="D1:F6"/>
    <mergeCell ref="B16:C16"/>
    <mergeCell ref="B9:C9"/>
    <mergeCell ref="B10:C10"/>
    <mergeCell ref="B11:C11"/>
    <mergeCell ref="B13:C13"/>
    <mergeCell ref="B15:C15"/>
    <mergeCell ref="B14:C14"/>
    <mergeCell ref="B12:C12"/>
  </mergeCells>
  <dataValidations count="2">
    <dataValidation type="list" allowBlank="1" showErrorMessage="1" sqref="B12" xr:uid="{00000000-0002-0000-0100-000001000000}">
      <formula1>"1,2,3,4,5"</formula1>
    </dataValidation>
    <dataValidation type="list" allowBlank="1" showErrorMessage="1" sqref="B11:C11" xr:uid="{F43F0750-E9D2-400B-AC8A-FBB7B8E738CE}">
      <formula1>"5%,10%,15%,20%,30%,50%,60%,70%,80%"</formula1>
    </dataValidation>
  </dataValidations>
  <pageMargins left="0.7" right="0.7" top="0.75" bottom="0.75" header="0" footer="0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Generico</dc:creator>
  <cp:lastModifiedBy>Daniel Andres Aroca</cp:lastModifiedBy>
  <dcterms:created xsi:type="dcterms:W3CDTF">2020-04-30T13:32:04Z</dcterms:created>
  <dcterms:modified xsi:type="dcterms:W3CDTF">2022-09-29T14:13:47Z</dcterms:modified>
</cp:coreProperties>
</file>